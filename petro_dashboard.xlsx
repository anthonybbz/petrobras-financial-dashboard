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B3B84B-8AA8-44C0-B763-6C53A70A311B}" xr6:coauthVersionLast="47" xr6:coauthVersionMax="47" xr10:uidLastSave="{00000000-0000-0000-0000-000000000000}"/>
  <bookViews>
    <workbookView xWindow="-120" yWindow="-120" windowWidth="20730" windowHeight="11160" xr2:uid="{127474EC-84FE-42F1-8B48-D5DF462C25F0}"/>
  </bookViews>
  <sheets>
    <sheet name="Dashboard" sheetId="1" r:id="rId1"/>
    <sheet name="petrobras_dados" sheetId="2" r:id="rId2"/>
  </sheets>
  <definedNames>
    <definedName name="DadosExternos_1" localSheetId="1" hidden="1">petrobras_dados!$A$1:$E$13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1" l="1"/>
  <c r="AD16" i="1"/>
  <c r="AD15" i="1"/>
  <c r="J25" i="1"/>
  <c r="G25" i="1"/>
  <c r="D25" i="1"/>
  <c r="A25" i="1"/>
  <c r="AD14" i="1"/>
  <c r="AD13" i="1"/>
  <c r="J17" i="1"/>
  <c r="G17" i="1"/>
  <c r="D17" i="1"/>
  <c r="A17" i="1"/>
  <c r="AD12" i="1"/>
  <c r="AD11" i="1"/>
  <c r="AD10" i="1"/>
  <c r="AD9" i="1"/>
  <c r="AD8" i="1"/>
  <c r="AD7" i="1"/>
  <c r="AD6" i="1"/>
  <c r="AD5" i="1"/>
  <c r="J9" i="1"/>
  <c r="G9" i="1"/>
  <c r="D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F54BD-C49E-4747-96BB-D5A82920F2D1}" keepAlive="1" name="Consulta - petrobras" description="Conexão com a consulta 'petrobras' na pasta de trabalho." type="5" refreshedVersion="8" background="1" saveData="1">
    <dbPr connection="Provider=Microsoft.Mashup.OleDb.1;Data Source=$Workbook$;Location=petrobras;Extended Properties=&quot;&quot;" command="SELECT * FROM [petrobras]"/>
  </connection>
</connections>
</file>

<file path=xl/sharedStrings.xml><?xml version="1.0" encoding="utf-8"?>
<sst xmlns="http://schemas.openxmlformats.org/spreadsheetml/2006/main" count="41" uniqueCount="33">
  <si>
    <t>Column1</t>
  </si>
  <si>
    <t>indicador</t>
  </si>
  <si>
    <t>categoria</t>
  </si>
  <si>
    <t>valor_2025</t>
  </si>
  <si>
    <t>valor_2024</t>
  </si>
  <si>
    <t>0</t>
  </si>
  <si>
    <t>Margem Bruta</t>
  </si>
  <si>
    <t>Lucratividade</t>
  </si>
  <si>
    <t>1</t>
  </si>
  <si>
    <t>Margem EBITDA</t>
  </si>
  <si>
    <t>2</t>
  </si>
  <si>
    <t>Margem Operacional</t>
  </si>
  <si>
    <t>3</t>
  </si>
  <si>
    <t>Margem Lķquida</t>
  </si>
  <si>
    <t>4</t>
  </si>
  <si>
    <t>ROE</t>
  </si>
  <si>
    <t>Retorno</t>
  </si>
  <si>
    <t>5</t>
  </si>
  <si>
    <t>ROA</t>
  </si>
  <si>
    <t>6</t>
  </si>
  <si>
    <t>ROCE</t>
  </si>
  <si>
    <t>7</t>
  </si>
  <si>
    <t>ROIC</t>
  </si>
  <si>
    <t>8</t>
  </si>
  <si>
    <t>Liquidez Corrente</t>
  </si>
  <si>
    <t>Liquidez</t>
  </si>
  <si>
    <t>9</t>
  </si>
  <si>
    <t>Liquidez Imediata</t>
  </si>
  <si>
    <t>10</t>
  </si>
  <si>
    <t>Debt Ratio</t>
  </si>
  <si>
    <t>Alavancagem</t>
  </si>
  <si>
    <t>11</t>
  </si>
  <si>
    <t>Debt to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</si>
</sst>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B10F0F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2" fontId="0" fillId="2" borderId="0" xfId="0" applyNumberFormat="1" applyFill="1"/>
    <xf numFmtId="0" fontId="2" fillId="2" borderId="0" xfId="0" applyFont="1" applyFill="1" applyAlignment="1">
      <alignment horizontal="center"/>
    </xf>
    <xf numFmtId="1" fontId="0" fillId="2" borderId="0" xfId="0" applyNumberFormat="1" applyFill="1"/>
    <xf numFmtId="0" fontId="3" fillId="2" borderId="0" xfId="0" applyFont="1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orcentagem" xfId="1" builtinId="5"/>
  </cellStyles>
  <dxfs count="5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63020"/>
      <color rgb="FF006600"/>
      <color rgb="FFB10F0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Margens</a:t>
            </a:r>
            <a:r>
              <a:rPr lang="pt-BR" baseline="0">
                <a:solidFill>
                  <a:schemeClr val="bg1"/>
                </a:solidFill>
              </a:rPr>
              <a:t> - 2024 vs 2025</a:t>
            </a:r>
            <a:endParaRPr lang="pt-BR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5411304038529156"/>
          <c:y val="2.810085773996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petrobras_dados!$B$2:$B$5</c:f>
              <c:strCache>
                <c:ptCount val="4"/>
                <c:pt idx="0">
                  <c:v>Margem Bruta</c:v>
                </c:pt>
                <c:pt idx="1">
                  <c:v>Margem EBITDA</c:v>
                </c:pt>
                <c:pt idx="2">
                  <c:v>Margem Operacional</c:v>
                </c:pt>
                <c:pt idx="3">
                  <c:v>Margem Lķquida</c:v>
                </c:pt>
              </c:strCache>
            </c:strRef>
          </c:cat>
          <c:val>
            <c:numRef>
              <c:f>petrobras_dados!$D$2:$D$5</c:f>
              <c:numCache>
                <c:formatCode>0.00</c:formatCode>
                <c:ptCount val="4"/>
                <c:pt idx="0">
                  <c:v>47.63</c:v>
                </c:pt>
                <c:pt idx="1">
                  <c:v>46.23</c:v>
                </c:pt>
                <c:pt idx="2">
                  <c:v>29.27</c:v>
                </c:pt>
                <c:pt idx="3">
                  <c:v>22.23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1-4D14-BC72-F7226B813BEA}"/>
            </c:ext>
          </c:extLst>
        </c:ser>
        <c:ser>
          <c:idx val="1"/>
          <c:order val="1"/>
          <c:tx>
            <c:v>2024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petrobras_dados!$B$2:$B$5</c:f>
              <c:strCache>
                <c:ptCount val="4"/>
                <c:pt idx="0">
                  <c:v>Margem Bruta</c:v>
                </c:pt>
                <c:pt idx="1">
                  <c:v>Margem EBITDA</c:v>
                </c:pt>
                <c:pt idx="2">
                  <c:v>Margem Operacional</c:v>
                </c:pt>
                <c:pt idx="3">
                  <c:v>Margem Lķquida</c:v>
                </c:pt>
              </c:strCache>
            </c:strRef>
          </c:cat>
          <c:val>
            <c:numRef>
              <c:f>petrobras_dados!$E$2:$E$5</c:f>
              <c:numCache>
                <c:formatCode>0.00</c:formatCode>
                <c:ptCount val="4"/>
                <c:pt idx="0">
                  <c:v>50.21</c:v>
                </c:pt>
                <c:pt idx="1">
                  <c:v>41.61</c:v>
                </c:pt>
                <c:pt idx="2">
                  <c:v>27.95</c:v>
                </c:pt>
                <c:pt idx="3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1-4D14-BC72-F7226B813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132399"/>
        <c:axId val="1095153039"/>
      </c:barChart>
      <c:catAx>
        <c:axId val="10951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5153039"/>
        <c:crosses val="autoZero"/>
        <c:auto val="1"/>
        <c:lblAlgn val="ctr"/>
        <c:lblOffset val="100"/>
        <c:noMultiLvlLbl val="0"/>
      </c:catAx>
      <c:valAx>
        <c:axId val="109515303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51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006600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400">
                <a:solidFill>
                  <a:schemeClr val="bg1"/>
                </a:solidFill>
              </a:rPr>
              <a:t>Retorno - 2024 vs 2025</a:t>
            </a:r>
          </a:p>
        </c:rich>
      </c:tx>
      <c:layout>
        <c:manualLayout>
          <c:xMode val="edge"/>
          <c:yMode val="edge"/>
          <c:x val="0.1841526684164479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petrobras_dados!$B$6:$B$9</c:f>
              <c:strCache>
                <c:ptCount val="4"/>
                <c:pt idx="0">
                  <c:v>ROE</c:v>
                </c:pt>
                <c:pt idx="1">
                  <c:v>ROA</c:v>
                </c:pt>
                <c:pt idx="2">
                  <c:v>ROCE</c:v>
                </c:pt>
                <c:pt idx="3">
                  <c:v>ROIC</c:v>
                </c:pt>
              </c:strCache>
            </c:strRef>
          </c:cat>
          <c:val>
            <c:numRef>
              <c:f>petrobras_dados!$D$6:$D$9</c:f>
              <c:numCache>
                <c:formatCode>0.00</c:formatCode>
                <c:ptCount val="4"/>
                <c:pt idx="0">
                  <c:v>26.49</c:v>
                </c:pt>
                <c:pt idx="1">
                  <c:v>9.0399999999999991</c:v>
                </c:pt>
                <c:pt idx="2">
                  <c:v>14.21</c:v>
                </c:pt>
                <c:pt idx="3">
                  <c:v>19.39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4-4375-A843-9E8C6A862269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petrobras_dados!$B$6:$B$9</c:f>
              <c:strCache>
                <c:ptCount val="4"/>
                <c:pt idx="0">
                  <c:v>ROE</c:v>
                </c:pt>
                <c:pt idx="1">
                  <c:v>ROA</c:v>
                </c:pt>
                <c:pt idx="2">
                  <c:v>ROCE</c:v>
                </c:pt>
                <c:pt idx="3">
                  <c:v>ROIC</c:v>
                </c:pt>
              </c:strCache>
            </c:strRef>
          </c:cat>
          <c:val>
            <c:numRef>
              <c:f>petrobras_dados!$E$6:$E$9</c:f>
              <c:numCache>
                <c:formatCode>0.00</c:formatCode>
                <c:ptCount val="4"/>
                <c:pt idx="0">
                  <c:v>10.07</c:v>
                </c:pt>
                <c:pt idx="1">
                  <c:v>3.29</c:v>
                </c:pt>
                <c:pt idx="2">
                  <c:v>14.75</c:v>
                </c:pt>
                <c:pt idx="3">
                  <c:v>19.760000000000002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4-4375-A843-9E8C6A86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401535"/>
        <c:axId val="1725399135"/>
      </c:barChart>
      <c:catAx>
        <c:axId val="17254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5399135"/>
        <c:crosses val="autoZero"/>
        <c:auto val="1"/>
        <c:lblAlgn val="ctr"/>
        <c:lblOffset val="100"/>
        <c:noMultiLvlLbl val="0"/>
      </c:catAx>
      <c:valAx>
        <c:axId val="172539913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54015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0</xdr:row>
      <xdr:rowOff>0</xdr:rowOff>
    </xdr:from>
    <xdr:to>
      <xdr:col>13</xdr:col>
      <xdr:colOff>257174</xdr:colOff>
      <xdr:row>2</xdr:row>
      <xdr:rowOff>152401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F9638D4-F219-7DD8-C457-12395238C499}"/>
            </a:ext>
          </a:extLst>
        </xdr:cNvPr>
        <xdr:cNvSpPr txBox="1"/>
      </xdr:nvSpPr>
      <xdr:spPr>
        <a:xfrm>
          <a:off x="3486149" y="0"/>
          <a:ext cx="4695825" cy="533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PETROBRAS - ANÁLISE FINANCEIRA</a:t>
          </a:r>
        </a:p>
        <a:p>
          <a:pPr algn="ctr"/>
          <a:r>
            <a:rPr lang="pt-BR" sz="1200" b="1">
              <a:solidFill>
                <a:schemeClr val="bg1"/>
              </a:solidFill>
            </a:rPr>
            <a:t>2024 VS 2025</a:t>
          </a:r>
        </a:p>
      </xdr:txBody>
    </xdr:sp>
    <xdr:clientData/>
  </xdr:twoCellAnchor>
  <xdr:twoCellAnchor>
    <xdr:from>
      <xdr:col>0</xdr:col>
      <xdr:colOff>78589</xdr:colOff>
      <xdr:row>3</xdr:row>
      <xdr:rowOff>61805</xdr:rowOff>
    </xdr:from>
    <xdr:to>
      <xdr:col>12</xdr:col>
      <xdr:colOff>225275</xdr:colOff>
      <xdr:row>4</xdr:row>
      <xdr:rowOff>177305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A4554FA-98D3-C0A9-BC2D-DE3A430EBFB1}"/>
            </a:ext>
          </a:extLst>
        </xdr:cNvPr>
        <xdr:cNvSpPr txBox="1"/>
      </xdr:nvSpPr>
      <xdr:spPr>
        <a:xfrm>
          <a:off x="78589" y="633305"/>
          <a:ext cx="7494543" cy="306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LUCRATIVIDADE</a:t>
          </a:r>
        </a:p>
      </xdr:txBody>
    </xdr:sp>
    <xdr:clientData/>
  </xdr:twoCellAnchor>
  <xdr:twoCellAnchor>
    <xdr:from>
      <xdr:col>0</xdr:col>
      <xdr:colOff>107315</xdr:colOff>
      <xdr:row>5</xdr:row>
      <xdr:rowOff>67733</xdr:rowOff>
    </xdr:from>
    <xdr:to>
      <xdr:col>2</xdr:col>
      <xdr:colOff>414867</xdr:colOff>
      <xdr:row>8</xdr:row>
      <xdr:rowOff>16933</xdr:rowOff>
    </xdr:to>
    <xdr:sp macro="" textlink="$AD$5">
      <xdr:nvSpPr>
        <xdr:cNvPr id="4" name="Retângulo 3">
          <a:extLst>
            <a:ext uri="{FF2B5EF4-FFF2-40B4-BE49-F238E27FC236}">
              <a16:creationId xmlns:a16="http://schemas.microsoft.com/office/drawing/2014/main" id="{A27C59B7-3B79-9EB6-AF2B-09EAD6FF5F6D}"/>
            </a:ext>
          </a:extLst>
        </xdr:cNvPr>
        <xdr:cNvSpPr/>
      </xdr:nvSpPr>
      <xdr:spPr>
        <a:xfrm>
          <a:off x="107315" y="1193800"/>
          <a:ext cx="1526752" cy="5334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DC5D686-44ED-4F0F-9A2B-6EDE17294490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t>47,63%</a:t>
          </a:fld>
          <a:endParaRPr lang="pt-BR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315172</xdr:colOff>
      <xdr:row>5</xdr:row>
      <xdr:rowOff>73448</xdr:rowOff>
    </xdr:from>
    <xdr:to>
      <xdr:col>2</xdr:col>
      <xdr:colOff>276649</xdr:colOff>
      <xdr:row>6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0924A25-DECE-090F-6D1D-4BAB4ABC3006}"/>
            </a:ext>
          </a:extLst>
        </xdr:cNvPr>
        <xdr:cNvSpPr txBox="1"/>
      </xdr:nvSpPr>
      <xdr:spPr>
        <a:xfrm>
          <a:off x="315172" y="1199515"/>
          <a:ext cx="1180677" cy="121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Margem Bruta</a:t>
          </a:r>
        </a:p>
      </xdr:txBody>
    </xdr:sp>
    <xdr:clientData/>
  </xdr:twoCellAnchor>
  <xdr:twoCellAnchor>
    <xdr:from>
      <xdr:col>3</xdr:col>
      <xdr:colOff>176954</xdr:colOff>
      <xdr:row>5</xdr:row>
      <xdr:rowOff>71543</xdr:rowOff>
    </xdr:from>
    <xdr:to>
      <xdr:col>5</xdr:col>
      <xdr:colOff>482601</xdr:colOff>
      <xdr:row>8</xdr:row>
      <xdr:rowOff>13123</xdr:rowOff>
    </xdr:to>
    <xdr:sp macro="" textlink="$AD$6">
      <xdr:nvSpPr>
        <xdr:cNvPr id="6" name="Retângulo 5">
          <a:extLst>
            <a:ext uri="{FF2B5EF4-FFF2-40B4-BE49-F238E27FC236}">
              <a16:creationId xmlns:a16="http://schemas.microsoft.com/office/drawing/2014/main" id="{2752E0B5-01EB-4430-895A-23B7A3713A6D}"/>
            </a:ext>
          </a:extLst>
        </xdr:cNvPr>
        <xdr:cNvSpPr/>
      </xdr:nvSpPr>
      <xdr:spPr>
        <a:xfrm>
          <a:off x="2005754" y="1197610"/>
          <a:ext cx="1524847" cy="52578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9305BB9-FC3F-4101-B6A4-FC05A23C870F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t>46,23%</a:t>
          </a:fld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350944</xdr:colOff>
      <xdr:row>5</xdr:row>
      <xdr:rowOff>84667</xdr:rowOff>
    </xdr:from>
    <xdr:to>
      <xdr:col>5</xdr:col>
      <xdr:colOff>312421</xdr:colOff>
      <xdr:row>6</xdr:row>
      <xdr:rowOff>9314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38FC52C-7716-4B37-8396-ACC8C79FCDB9}"/>
            </a:ext>
          </a:extLst>
        </xdr:cNvPr>
        <xdr:cNvSpPr txBox="1"/>
      </xdr:nvSpPr>
      <xdr:spPr>
        <a:xfrm>
          <a:off x="2179744" y="1210734"/>
          <a:ext cx="1180677" cy="119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Margem EBITDA</a:t>
          </a:r>
        </a:p>
      </xdr:txBody>
    </xdr:sp>
    <xdr:clientData/>
  </xdr:twoCellAnchor>
  <xdr:twoCellAnchor>
    <xdr:from>
      <xdr:col>6</xdr:col>
      <xdr:colOff>217381</xdr:colOff>
      <xdr:row>5</xdr:row>
      <xdr:rowOff>62971</xdr:rowOff>
    </xdr:from>
    <xdr:to>
      <xdr:col>8</xdr:col>
      <xdr:colOff>521123</xdr:colOff>
      <xdr:row>8</xdr:row>
      <xdr:rowOff>21696</xdr:rowOff>
    </xdr:to>
    <xdr:sp macro="" textlink="$AD$7">
      <xdr:nvSpPr>
        <xdr:cNvPr id="9" name="Retângulo 8">
          <a:extLst>
            <a:ext uri="{FF2B5EF4-FFF2-40B4-BE49-F238E27FC236}">
              <a16:creationId xmlns:a16="http://schemas.microsoft.com/office/drawing/2014/main" id="{A6301BDE-EDAF-474B-A4E6-CFF084CB5591}"/>
            </a:ext>
          </a:extLst>
        </xdr:cNvPr>
        <xdr:cNvSpPr/>
      </xdr:nvSpPr>
      <xdr:spPr>
        <a:xfrm>
          <a:off x="3874981" y="1189038"/>
          <a:ext cx="1522942" cy="54292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E481EDA-C521-46E0-8155-4DBFB379041D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t>29,27%</a:t>
          </a:fld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298237</xdr:colOff>
      <xdr:row>5</xdr:row>
      <xdr:rowOff>67733</xdr:rowOff>
    </xdr:from>
    <xdr:to>
      <xdr:col>8</xdr:col>
      <xdr:colOff>524933</xdr:colOff>
      <xdr:row>6</xdr:row>
      <xdr:rowOff>59267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71C2572E-6657-4624-BA65-FEEA80D7F2D2}"/>
            </a:ext>
          </a:extLst>
        </xdr:cNvPr>
        <xdr:cNvSpPr txBox="1"/>
      </xdr:nvSpPr>
      <xdr:spPr>
        <a:xfrm>
          <a:off x="3955837" y="1193800"/>
          <a:ext cx="1445896" cy="186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Margem Operacional</a:t>
          </a:r>
        </a:p>
      </xdr:txBody>
    </xdr:sp>
    <xdr:clientData/>
  </xdr:twoCellAnchor>
  <xdr:twoCellAnchor>
    <xdr:from>
      <xdr:col>9</xdr:col>
      <xdr:colOff>255905</xdr:colOff>
      <xdr:row>5</xdr:row>
      <xdr:rowOff>63923</xdr:rowOff>
    </xdr:from>
    <xdr:to>
      <xdr:col>11</xdr:col>
      <xdr:colOff>559647</xdr:colOff>
      <xdr:row>8</xdr:row>
      <xdr:rowOff>20743</xdr:rowOff>
    </xdr:to>
    <xdr:sp macro="" textlink="$AD$8">
      <xdr:nvSpPr>
        <xdr:cNvPr id="11" name="Retângulo 10">
          <a:extLst>
            <a:ext uri="{FF2B5EF4-FFF2-40B4-BE49-F238E27FC236}">
              <a16:creationId xmlns:a16="http://schemas.microsoft.com/office/drawing/2014/main" id="{93ADA14D-61F0-4E51-9C61-EB687EE58EAC}"/>
            </a:ext>
          </a:extLst>
        </xdr:cNvPr>
        <xdr:cNvSpPr/>
      </xdr:nvSpPr>
      <xdr:spPr>
        <a:xfrm>
          <a:off x="5742305" y="1189990"/>
          <a:ext cx="1522942" cy="54102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07F2F72-F160-48E0-93F1-F6B0918D1B94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t>22,23%</a:t>
          </a:fld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349038</xdr:colOff>
      <xdr:row>5</xdr:row>
      <xdr:rowOff>50800</xdr:rowOff>
    </xdr:from>
    <xdr:to>
      <xdr:col>11</xdr:col>
      <xdr:colOff>490220</xdr:colOff>
      <xdr:row>6</xdr:row>
      <xdr:rowOff>13123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737DA812-F0D8-4018-9196-FF9E4AD6F384}"/>
            </a:ext>
          </a:extLst>
        </xdr:cNvPr>
        <xdr:cNvSpPr txBox="1"/>
      </xdr:nvSpPr>
      <xdr:spPr>
        <a:xfrm>
          <a:off x="5835438" y="1176867"/>
          <a:ext cx="1360382" cy="157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Margem Líquida</a:t>
          </a:r>
        </a:p>
      </xdr:txBody>
    </xdr:sp>
    <xdr:clientData/>
  </xdr:twoCellAnchor>
  <xdr:twoCellAnchor>
    <xdr:from>
      <xdr:col>0</xdr:col>
      <xdr:colOff>59266</xdr:colOff>
      <xdr:row>9</xdr:row>
      <xdr:rowOff>186266</xdr:rowOff>
    </xdr:from>
    <xdr:to>
      <xdr:col>12</xdr:col>
      <xdr:colOff>207857</xdr:colOff>
      <xdr:row>11</xdr:row>
      <xdr:rowOff>111266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3D62A3A4-B407-4DA8-9382-DEA2477A7583}"/>
            </a:ext>
          </a:extLst>
        </xdr:cNvPr>
        <xdr:cNvSpPr txBox="1"/>
      </xdr:nvSpPr>
      <xdr:spPr>
        <a:xfrm>
          <a:off x="59266" y="1900766"/>
          <a:ext cx="7496448" cy="306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RETORNO</a:t>
          </a:r>
        </a:p>
      </xdr:txBody>
    </xdr:sp>
    <xdr:clientData/>
  </xdr:twoCellAnchor>
  <xdr:twoCellAnchor>
    <xdr:from>
      <xdr:col>0</xdr:col>
      <xdr:colOff>82762</xdr:colOff>
      <xdr:row>12</xdr:row>
      <xdr:rowOff>193357</xdr:rowOff>
    </xdr:from>
    <xdr:to>
      <xdr:col>2</xdr:col>
      <xdr:colOff>386504</xdr:colOff>
      <xdr:row>15</xdr:row>
      <xdr:rowOff>146367</xdr:rowOff>
    </xdr:to>
    <xdr:sp macro="" textlink="$AD$9">
      <xdr:nvSpPr>
        <xdr:cNvPr id="14" name="Retângulo 13">
          <a:extLst>
            <a:ext uri="{FF2B5EF4-FFF2-40B4-BE49-F238E27FC236}">
              <a16:creationId xmlns:a16="http://schemas.microsoft.com/office/drawing/2014/main" id="{F9E71471-5D7D-4733-B7CC-F0DDAAFE9A43}"/>
            </a:ext>
          </a:extLst>
        </xdr:cNvPr>
        <xdr:cNvSpPr/>
      </xdr:nvSpPr>
      <xdr:spPr>
        <a:xfrm>
          <a:off x="82762" y="2682557"/>
          <a:ext cx="1522942" cy="53721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B676A54-4D90-41DE-9314-F3A56E843E31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26,49%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107316</xdr:colOff>
      <xdr:row>13</xdr:row>
      <xdr:rowOff>3387</xdr:rowOff>
    </xdr:from>
    <xdr:to>
      <xdr:col>5</xdr:col>
      <xdr:colOff>412963</xdr:colOff>
      <xdr:row>15</xdr:row>
      <xdr:rowOff>141605</xdr:rowOff>
    </xdr:to>
    <xdr:sp macro="" textlink="$AD$10">
      <xdr:nvSpPr>
        <xdr:cNvPr id="15" name="Retângulo 14">
          <a:extLst>
            <a:ext uri="{FF2B5EF4-FFF2-40B4-BE49-F238E27FC236}">
              <a16:creationId xmlns:a16="http://schemas.microsoft.com/office/drawing/2014/main" id="{52664968-8D26-45B2-B2D6-A851C335D950}"/>
            </a:ext>
          </a:extLst>
        </xdr:cNvPr>
        <xdr:cNvSpPr/>
      </xdr:nvSpPr>
      <xdr:spPr>
        <a:xfrm>
          <a:off x="1936116" y="2687320"/>
          <a:ext cx="1524847" cy="52768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58CE9DD-A9FC-42CE-95B2-644AC22EB4A7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9,04%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235161</xdr:colOff>
      <xdr:row>12</xdr:row>
      <xdr:rowOff>189547</xdr:rowOff>
    </xdr:from>
    <xdr:to>
      <xdr:col>8</xdr:col>
      <xdr:colOff>540808</xdr:colOff>
      <xdr:row>15</xdr:row>
      <xdr:rowOff>150177</xdr:rowOff>
    </xdr:to>
    <xdr:sp macro="" textlink="$AD$11">
      <xdr:nvSpPr>
        <xdr:cNvPr id="16" name="Retângulo 15">
          <a:extLst>
            <a:ext uri="{FF2B5EF4-FFF2-40B4-BE49-F238E27FC236}">
              <a16:creationId xmlns:a16="http://schemas.microsoft.com/office/drawing/2014/main" id="{E343CEB4-2F42-43DB-8416-01481A0B02B3}"/>
            </a:ext>
          </a:extLst>
        </xdr:cNvPr>
        <xdr:cNvSpPr/>
      </xdr:nvSpPr>
      <xdr:spPr>
        <a:xfrm>
          <a:off x="3892761" y="2678747"/>
          <a:ext cx="1524847" cy="5448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399D2DC-9122-4627-8317-9350CEC7AAB9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14,21%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336762</xdr:colOff>
      <xdr:row>12</xdr:row>
      <xdr:rowOff>189547</xdr:rowOff>
    </xdr:from>
    <xdr:to>
      <xdr:col>12</xdr:col>
      <xdr:colOff>32809</xdr:colOff>
      <xdr:row>15</xdr:row>
      <xdr:rowOff>150177</xdr:rowOff>
    </xdr:to>
    <xdr:sp macro="" textlink="$AD$12">
      <xdr:nvSpPr>
        <xdr:cNvPr id="17" name="Retângulo 16">
          <a:extLst>
            <a:ext uri="{FF2B5EF4-FFF2-40B4-BE49-F238E27FC236}">
              <a16:creationId xmlns:a16="http://schemas.microsoft.com/office/drawing/2014/main" id="{81131B6F-E49A-431E-BCB8-5783BF35435B}"/>
            </a:ext>
          </a:extLst>
        </xdr:cNvPr>
        <xdr:cNvSpPr/>
      </xdr:nvSpPr>
      <xdr:spPr>
        <a:xfrm>
          <a:off x="5823162" y="2678747"/>
          <a:ext cx="1524847" cy="5448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535859A-EB66-4D5F-AE5B-1C000C3B9D21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19,39%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241724</xdr:colOff>
      <xdr:row>13</xdr:row>
      <xdr:rowOff>15558</xdr:rowOff>
    </xdr:from>
    <xdr:to>
      <xdr:col>2</xdr:col>
      <xdr:colOff>203201</xdr:colOff>
      <xdr:row>13</xdr:row>
      <xdr:rowOff>134938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F7EB7DB7-7169-408A-8BB0-AE0E6DEDA247}"/>
            </a:ext>
          </a:extLst>
        </xdr:cNvPr>
        <xdr:cNvSpPr txBox="1"/>
      </xdr:nvSpPr>
      <xdr:spPr>
        <a:xfrm>
          <a:off x="241724" y="2699491"/>
          <a:ext cx="1180677" cy="119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ROE</a:t>
          </a:r>
        </a:p>
      </xdr:txBody>
    </xdr:sp>
    <xdr:clientData/>
  </xdr:twoCellAnchor>
  <xdr:twoCellAnchor>
    <xdr:from>
      <xdr:col>3</xdr:col>
      <xdr:colOff>261621</xdr:colOff>
      <xdr:row>13</xdr:row>
      <xdr:rowOff>3387</xdr:rowOff>
    </xdr:from>
    <xdr:to>
      <xdr:col>5</xdr:col>
      <xdr:colOff>223098</xdr:colOff>
      <xdr:row>13</xdr:row>
      <xdr:rowOff>118957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EB7A2853-6899-4953-B8E3-A978AB508527}"/>
            </a:ext>
          </a:extLst>
        </xdr:cNvPr>
        <xdr:cNvSpPr txBox="1"/>
      </xdr:nvSpPr>
      <xdr:spPr>
        <a:xfrm>
          <a:off x="2090421" y="2687320"/>
          <a:ext cx="1180677" cy="115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ROA</a:t>
          </a:r>
        </a:p>
      </xdr:txBody>
    </xdr:sp>
    <xdr:clientData/>
  </xdr:twoCellAnchor>
  <xdr:twoCellAnchor>
    <xdr:from>
      <xdr:col>6</xdr:col>
      <xdr:colOff>368723</xdr:colOff>
      <xdr:row>13</xdr:row>
      <xdr:rowOff>3281</xdr:rowOff>
    </xdr:from>
    <xdr:to>
      <xdr:col>8</xdr:col>
      <xdr:colOff>330200</xdr:colOff>
      <xdr:row>13</xdr:row>
      <xdr:rowOff>120756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90F4AEC3-BF91-4966-AF28-123CE9A69498}"/>
            </a:ext>
          </a:extLst>
        </xdr:cNvPr>
        <xdr:cNvSpPr txBox="1"/>
      </xdr:nvSpPr>
      <xdr:spPr>
        <a:xfrm>
          <a:off x="4026323" y="2687214"/>
          <a:ext cx="1180677" cy="117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ROCE</a:t>
          </a:r>
        </a:p>
      </xdr:txBody>
    </xdr:sp>
    <xdr:clientData/>
  </xdr:twoCellAnchor>
  <xdr:twoCellAnchor>
    <xdr:from>
      <xdr:col>9</xdr:col>
      <xdr:colOff>491067</xdr:colOff>
      <xdr:row>13</xdr:row>
      <xdr:rowOff>28681</xdr:rowOff>
    </xdr:from>
    <xdr:to>
      <xdr:col>11</xdr:col>
      <xdr:colOff>452544</xdr:colOff>
      <xdr:row>13</xdr:row>
      <xdr:rowOff>144251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4C800DB9-CDC5-4990-9FFD-83CF317DD19D}"/>
            </a:ext>
          </a:extLst>
        </xdr:cNvPr>
        <xdr:cNvSpPr txBox="1"/>
      </xdr:nvSpPr>
      <xdr:spPr>
        <a:xfrm>
          <a:off x="5977467" y="2712614"/>
          <a:ext cx="1180677" cy="115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ROIC</a:t>
          </a:r>
        </a:p>
      </xdr:txBody>
    </xdr:sp>
    <xdr:clientData/>
  </xdr:twoCellAnchor>
  <xdr:twoCellAnchor>
    <xdr:from>
      <xdr:col>0</xdr:col>
      <xdr:colOff>85725</xdr:colOff>
      <xdr:row>17</xdr:row>
      <xdr:rowOff>171450</xdr:rowOff>
    </xdr:from>
    <xdr:to>
      <xdr:col>5</xdr:col>
      <xdr:colOff>550545</xdr:colOff>
      <xdr:row>19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C274F2CB-71E5-4B8E-8EE4-57B1C6DCFCFD}"/>
            </a:ext>
          </a:extLst>
        </xdr:cNvPr>
        <xdr:cNvSpPr txBox="1"/>
      </xdr:nvSpPr>
      <xdr:spPr>
        <a:xfrm>
          <a:off x="85725" y="3562350"/>
          <a:ext cx="3512820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LIQUIDEZ</a:t>
          </a:r>
        </a:p>
      </xdr:txBody>
    </xdr:sp>
    <xdr:clientData/>
  </xdr:twoCellAnchor>
  <xdr:twoCellAnchor>
    <xdr:from>
      <xdr:col>0</xdr:col>
      <xdr:colOff>93133</xdr:colOff>
      <xdr:row>20</xdr:row>
      <xdr:rowOff>190076</xdr:rowOff>
    </xdr:from>
    <xdr:to>
      <xdr:col>2</xdr:col>
      <xdr:colOff>396875</xdr:colOff>
      <xdr:row>23</xdr:row>
      <xdr:rowOff>144991</xdr:rowOff>
    </xdr:to>
    <xdr:sp macro="" textlink="$AD$13">
      <xdr:nvSpPr>
        <xdr:cNvPr id="23" name="Retângulo 22">
          <a:extLst>
            <a:ext uri="{FF2B5EF4-FFF2-40B4-BE49-F238E27FC236}">
              <a16:creationId xmlns:a16="http://schemas.microsoft.com/office/drawing/2014/main" id="{60438723-09A8-4A99-9E0C-7F8C371FF7E3}"/>
            </a:ext>
          </a:extLst>
        </xdr:cNvPr>
        <xdr:cNvSpPr/>
      </xdr:nvSpPr>
      <xdr:spPr>
        <a:xfrm>
          <a:off x="93133" y="4237143"/>
          <a:ext cx="1522942" cy="53911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B63E643-DB92-47F7-AEAB-F7E243E54E31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0,71X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125307</xdr:colOff>
      <xdr:row>20</xdr:row>
      <xdr:rowOff>192934</xdr:rowOff>
    </xdr:from>
    <xdr:to>
      <xdr:col>5</xdr:col>
      <xdr:colOff>429049</xdr:colOff>
      <xdr:row>23</xdr:row>
      <xdr:rowOff>142134</xdr:rowOff>
    </xdr:to>
    <xdr:sp macro="" textlink="$AD$14">
      <xdr:nvSpPr>
        <xdr:cNvPr id="24" name="Retângulo 23">
          <a:extLst>
            <a:ext uri="{FF2B5EF4-FFF2-40B4-BE49-F238E27FC236}">
              <a16:creationId xmlns:a16="http://schemas.microsoft.com/office/drawing/2014/main" id="{B5CA39E6-8903-4A33-8611-ACFF8C9537F3}"/>
            </a:ext>
          </a:extLst>
        </xdr:cNvPr>
        <xdr:cNvSpPr/>
      </xdr:nvSpPr>
      <xdr:spPr>
        <a:xfrm>
          <a:off x="1954107" y="4240001"/>
          <a:ext cx="1522942" cy="5334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288E35F-F85A-47C6-9A37-AE9C715E3E0C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0,26X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245532</xdr:colOff>
      <xdr:row>20</xdr:row>
      <xdr:rowOff>186266</xdr:rowOff>
    </xdr:from>
    <xdr:to>
      <xdr:col>8</xdr:col>
      <xdr:colOff>549274</xdr:colOff>
      <xdr:row>23</xdr:row>
      <xdr:rowOff>146896</xdr:rowOff>
    </xdr:to>
    <xdr:sp macro="" textlink="$AD$15">
      <xdr:nvSpPr>
        <xdr:cNvPr id="25" name="Retângulo 24">
          <a:extLst>
            <a:ext uri="{FF2B5EF4-FFF2-40B4-BE49-F238E27FC236}">
              <a16:creationId xmlns:a16="http://schemas.microsoft.com/office/drawing/2014/main" id="{3F1F69E2-8550-4D6F-A66F-4749633D2D48}"/>
            </a:ext>
          </a:extLst>
        </xdr:cNvPr>
        <xdr:cNvSpPr/>
      </xdr:nvSpPr>
      <xdr:spPr>
        <a:xfrm>
          <a:off x="3903132" y="4233333"/>
          <a:ext cx="1522942" cy="5448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DD32A46-BA7B-4FA2-8A14-F0FD9EAF0425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0,31X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352848</xdr:colOff>
      <xdr:row>20</xdr:row>
      <xdr:rowOff>186266</xdr:rowOff>
    </xdr:from>
    <xdr:to>
      <xdr:col>12</xdr:col>
      <xdr:colOff>48895</xdr:colOff>
      <xdr:row>23</xdr:row>
      <xdr:rowOff>146896</xdr:rowOff>
    </xdr:to>
    <xdr:sp macro="" textlink="$AD$16">
      <xdr:nvSpPr>
        <xdr:cNvPr id="26" name="Retângulo 25">
          <a:extLst>
            <a:ext uri="{FF2B5EF4-FFF2-40B4-BE49-F238E27FC236}">
              <a16:creationId xmlns:a16="http://schemas.microsoft.com/office/drawing/2014/main" id="{3AC653D2-CB47-4A65-9A70-7598D1DAFAC9}"/>
            </a:ext>
          </a:extLst>
        </xdr:cNvPr>
        <xdr:cNvSpPr/>
      </xdr:nvSpPr>
      <xdr:spPr>
        <a:xfrm>
          <a:off x="5839248" y="4233333"/>
          <a:ext cx="1524847" cy="5448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E84D239-29BF-4626-B9C6-90F65E5E75A3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0,92X</a:t>
          </a:fld>
          <a:endParaRPr lang="pt-BR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253153</xdr:colOff>
      <xdr:row>21</xdr:row>
      <xdr:rowOff>3810</xdr:rowOff>
    </xdr:from>
    <xdr:to>
      <xdr:col>2</xdr:col>
      <xdr:colOff>262467</xdr:colOff>
      <xdr:row>21</xdr:row>
      <xdr:rowOff>101600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403E697B-8403-4184-8171-498DA62DF009}"/>
            </a:ext>
          </a:extLst>
        </xdr:cNvPr>
        <xdr:cNvSpPr txBox="1"/>
      </xdr:nvSpPr>
      <xdr:spPr>
        <a:xfrm>
          <a:off x="253153" y="4245610"/>
          <a:ext cx="1228514" cy="97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Liquidez Corrente</a:t>
          </a:r>
        </a:p>
      </xdr:txBody>
    </xdr:sp>
    <xdr:clientData/>
  </xdr:twoCellAnchor>
  <xdr:twoCellAnchor>
    <xdr:from>
      <xdr:col>3</xdr:col>
      <xdr:colOff>267335</xdr:colOff>
      <xdr:row>20</xdr:row>
      <xdr:rowOff>192934</xdr:rowOff>
    </xdr:from>
    <xdr:to>
      <xdr:col>5</xdr:col>
      <xdr:colOff>278554</xdr:colOff>
      <xdr:row>21</xdr:row>
      <xdr:rowOff>103611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B4EE2DED-E611-492C-A72F-CED36F318C14}"/>
            </a:ext>
          </a:extLst>
        </xdr:cNvPr>
        <xdr:cNvSpPr txBox="1"/>
      </xdr:nvSpPr>
      <xdr:spPr>
        <a:xfrm>
          <a:off x="2096135" y="4240001"/>
          <a:ext cx="1230419" cy="105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Liquidez Imediata</a:t>
          </a:r>
        </a:p>
      </xdr:txBody>
    </xdr:sp>
    <xdr:clientData/>
  </xdr:twoCellAnchor>
  <xdr:twoCellAnchor>
    <xdr:from>
      <xdr:col>6</xdr:col>
      <xdr:colOff>359409</xdr:colOff>
      <xdr:row>20</xdr:row>
      <xdr:rowOff>186266</xdr:rowOff>
    </xdr:from>
    <xdr:to>
      <xdr:col>8</xdr:col>
      <xdr:colOff>364913</xdr:colOff>
      <xdr:row>21</xdr:row>
      <xdr:rowOff>102658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6B269493-C4DC-49EB-A59F-D28AEF374E42}"/>
            </a:ext>
          </a:extLst>
        </xdr:cNvPr>
        <xdr:cNvSpPr txBox="1"/>
      </xdr:nvSpPr>
      <xdr:spPr>
        <a:xfrm>
          <a:off x="4017009" y="4233333"/>
          <a:ext cx="1224704" cy="11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Debt</a:t>
          </a:r>
          <a:r>
            <a:rPr lang="pt-BR" sz="1100" b="1" baseline="0">
              <a:solidFill>
                <a:schemeClr val="bg1"/>
              </a:solidFill>
            </a:rPr>
            <a:t> Ratio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494876</xdr:colOff>
      <xdr:row>20</xdr:row>
      <xdr:rowOff>186266</xdr:rowOff>
    </xdr:from>
    <xdr:to>
      <xdr:col>11</xdr:col>
      <xdr:colOff>498475</xdr:colOff>
      <xdr:row>21</xdr:row>
      <xdr:rowOff>108373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53D3D7E-3B42-4039-B3DF-41BD37691E1A}"/>
            </a:ext>
          </a:extLst>
        </xdr:cNvPr>
        <xdr:cNvSpPr txBox="1"/>
      </xdr:nvSpPr>
      <xdr:spPr>
        <a:xfrm>
          <a:off x="5981276" y="4233333"/>
          <a:ext cx="1222799" cy="116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Debt</a:t>
          </a:r>
          <a:r>
            <a:rPr lang="pt-BR" sz="1100" b="1" baseline="0">
              <a:solidFill>
                <a:schemeClr val="bg1"/>
              </a:solidFill>
            </a:rPr>
            <a:t> to Equity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219075</xdr:colOff>
      <xdr:row>17</xdr:row>
      <xdr:rowOff>180975</xdr:rowOff>
    </xdr:from>
    <xdr:to>
      <xdr:col>12</xdr:col>
      <xdr:colOff>73147</xdr:colOff>
      <xdr:row>19</xdr:row>
      <xdr:rowOff>104775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9C79E3BB-E3D4-4FEE-93C4-3C12D45485B3}"/>
            </a:ext>
          </a:extLst>
        </xdr:cNvPr>
        <xdr:cNvSpPr txBox="1"/>
      </xdr:nvSpPr>
      <xdr:spPr>
        <a:xfrm>
          <a:off x="3893004" y="3419475"/>
          <a:ext cx="3528000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ALAVANCAGEM</a:t>
          </a:r>
        </a:p>
      </xdr:txBody>
    </xdr:sp>
    <xdr:clientData/>
  </xdr:twoCellAnchor>
  <xdr:twoCellAnchor>
    <xdr:from>
      <xdr:col>13</xdr:col>
      <xdr:colOff>2</xdr:colOff>
      <xdr:row>4</xdr:row>
      <xdr:rowOff>0</xdr:rowOff>
    </xdr:from>
    <xdr:to>
      <xdr:col>19</xdr:col>
      <xdr:colOff>254001</xdr:colOff>
      <xdr:row>17</xdr:row>
      <xdr:rowOff>84666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7A03959A-2074-4728-8E40-643A71D1B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26</xdr:col>
      <xdr:colOff>255600</xdr:colOff>
      <xdr:row>17</xdr:row>
      <xdr:rowOff>79995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D05796F2-3C4F-4087-9BFB-A987C5171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7099A2C-0389-4022-990D-3C370D10AF6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indicador" tableColumnId="2"/>
      <queryTableField id="3" name="categoria" tableColumnId="3"/>
      <queryTableField id="4" name="valor_2025" tableColumnId="4"/>
      <queryTableField id="5" name="valor_2024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CDDD6-E344-4EA8-957A-BAD0FE83D3D2}" name="petrobras" displayName="petrobras" ref="A1:E13" tableType="queryTable" totalsRowShown="0">
  <autoFilter ref="A1:E13" xr:uid="{83BCDDD6-E344-4EA8-957A-BAD0FE83D3D2}"/>
  <tableColumns count="5">
    <tableColumn id="1" xr3:uid="{4A839D90-4D6B-4093-804F-8D9B5AF44594}" uniqueName="1" name="Column1" queryTableFieldId="1" dataDxfId="4"/>
    <tableColumn id="2" xr3:uid="{3BB4B2E9-3CE7-4EB4-9F5C-962303A2426E}" uniqueName="2" name="indicador" queryTableFieldId="2" dataDxfId="3"/>
    <tableColumn id="3" xr3:uid="{1C0B94F2-CD19-491C-B8DC-8D3B3170D526}" uniqueName="3" name="categoria" queryTableFieldId="3" dataDxfId="2"/>
    <tableColumn id="4" xr3:uid="{1D7BAC40-3AD2-4886-98C3-3086C12AA8F7}" uniqueName="4" name="valor_2025" queryTableFieldId="4" dataDxfId="1"/>
    <tableColumn id="5" xr3:uid="{F782C505-8FFE-4BB9-B174-3E71C8B2133A}" uniqueName="5" name="valor_2024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53EC-C804-48EE-92B0-5750CD753F74}">
  <dimension ref="A1:AD25"/>
  <sheetViews>
    <sheetView showGridLines="0" tabSelected="1" zoomScale="70" zoomScaleNormal="70" workbookViewId="0">
      <selection activeCell="R25" sqref="R25"/>
    </sheetView>
  </sheetViews>
  <sheetFormatPr defaultRowHeight="15" x14ac:dyDescent="0.25"/>
  <cols>
    <col min="1" max="29" width="9.140625" style="3"/>
    <col min="30" max="30" width="20.85546875" style="3" hidden="1" customWidth="1"/>
    <col min="31" max="16384" width="9.140625" style="3"/>
  </cols>
  <sheetData>
    <row r="1" spans="1:30" s="4" customFormat="1" x14ac:dyDescent="0.25"/>
    <row r="2" spans="1:30" s="4" customFormat="1" x14ac:dyDescent="0.25"/>
    <row r="3" spans="1:30" s="4" customFormat="1" x14ac:dyDescent="0.25"/>
    <row r="5" spans="1:30" x14ac:dyDescent="0.25">
      <c r="AD5" s="7" t="str">
        <f>_xlfn.CONCAT(petrobras_dados!D2,"%")</f>
        <v>47,63%</v>
      </c>
    </row>
    <row r="6" spans="1:30" x14ac:dyDescent="0.25">
      <c r="AD6" s="5" t="str">
        <f>_xlfn.CONCAT(petrobras_dados!D3,"%")</f>
        <v>46,23%</v>
      </c>
    </row>
    <row r="7" spans="1:30" x14ac:dyDescent="0.25">
      <c r="AD7" s="5" t="str">
        <f>_xlfn.CONCAT(petrobras_dados!D4,"%")</f>
        <v>29,27%</v>
      </c>
    </row>
    <row r="8" spans="1:30" x14ac:dyDescent="0.25">
      <c r="AD8" s="5" t="str">
        <f>_xlfn.CONCAT(petrobras_dados!D5,"%")</f>
        <v>22,23%</v>
      </c>
    </row>
    <row r="9" spans="1:30" x14ac:dyDescent="0.25">
      <c r="A9" s="6" t="str">
        <f>IF(petrobras_dados!D2&gt;petrobras_dados!E2,"▲","▼")&amp;" "&amp;TEXT(ABS(petrobras_dados!D2-petrobras_dados!E2),"0,00")&amp;"pp vs 2024"</f>
        <v>▼ 2,58pp vs 2024</v>
      </c>
      <c r="B9" s="6"/>
      <c r="C9" s="6"/>
      <c r="D9" s="8" t="str">
        <f>IF(petrobras_dados!D3&gt;petrobras_dados!E3,"▲","▼")&amp;" "&amp;TEXT(ABS(petrobras_dados!D3-petrobras_dados!E3),"0,00")&amp;"pp vs 2024"</f>
        <v>▲ 4,62pp vs 2024</v>
      </c>
      <c r="E9" s="8"/>
      <c r="F9" s="8"/>
      <c r="G9" s="8" t="str">
        <f>IF(petrobras_dados!D4&gt;petrobras_dados!E4,"▲","▼")&amp;" "&amp;TEXT(ABS(petrobras_dados!D4-petrobras_dados!E4),"0,00")&amp;"pp vs 2024"</f>
        <v>▲ 1,32pp vs 2024</v>
      </c>
      <c r="H9" s="8"/>
      <c r="I9" s="8"/>
      <c r="J9" s="8" t="str">
        <f>IF(petrobras_dados!D5&gt;petrobras_dados!E5,"▲","▼")&amp;" "&amp;TEXT(ABS(petrobras_dados!D5-petrobras_dados!E5),"0,00")&amp;"pp vs 2024"</f>
        <v>▲ 14,69pp vs 2024</v>
      </c>
      <c r="K9" s="8"/>
      <c r="L9" s="8"/>
      <c r="AD9" s="5" t="str">
        <f>_xlfn.CONCAT(petrobras_dados!D6,"%")</f>
        <v>26,49%</v>
      </c>
    </row>
    <row r="10" spans="1:30" x14ac:dyDescent="0.25">
      <c r="AD10" s="5" t="str">
        <f>_xlfn.CONCAT(petrobras_dados!D7,"%")</f>
        <v>9,04%</v>
      </c>
    </row>
    <row r="11" spans="1:30" x14ac:dyDescent="0.25">
      <c r="AD11" s="5" t="str">
        <f>_xlfn.CONCAT(petrobras_dados!D8,"%")</f>
        <v>14,21%</v>
      </c>
    </row>
    <row r="12" spans="1:30" x14ac:dyDescent="0.25">
      <c r="AD12" s="5" t="str">
        <f>_xlfn.CONCAT(petrobras_dados!D9,"%")</f>
        <v>19,39%</v>
      </c>
    </row>
    <row r="13" spans="1:30" x14ac:dyDescent="0.25">
      <c r="AD13" s="5" t="str">
        <f>_xlfn.CONCAT(petrobras_dados!D10,"X")</f>
        <v>0,71X</v>
      </c>
    </row>
    <row r="14" spans="1:30" x14ac:dyDescent="0.25">
      <c r="AD14" s="5" t="str">
        <f>_xlfn.CONCAT(petrobras_dados!D11,"X")</f>
        <v>0,26X</v>
      </c>
    </row>
    <row r="15" spans="1:30" x14ac:dyDescent="0.25">
      <c r="AD15" s="5" t="str">
        <f>_xlfn.CONCAT(petrobras_dados!D12,"X")</f>
        <v>0,31X</v>
      </c>
    </row>
    <row r="16" spans="1:30" x14ac:dyDescent="0.25">
      <c r="AD16" s="5" t="str">
        <f>_xlfn.CONCAT(petrobras_dados!D13,"X")</f>
        <v>0,92X</v>
      </c>
    </row>
    <row r="17" spans="1:12" x14ac:dyDescent="0.25">
      <c r="A17" s="8" t="str">
        <f>IF(petrobras_dados!D6&gt;petrobras_dados!E6,"▲","▼")&amp;" "&amp;TEXT(ABS(petrobras_dados!D6-petrobras_dados!E6),"0,00")&amp;"pp vs 2024"</f>
        <v>▲ 16,42pp vs 2024</v>
      </c>
      <c r="B17" s="8"/>
      <c r="C17" s="8"/>
      <c r="D17" s="8" t="str">
        <f>IF(petrobras_dados!D7&gt;petrobras_dados!E7,"▲","▼")&amp;" "&amp;TEXT(ABS(petrobras_dados!D7-petrobras_dados!E7),"0,00")&amp;"pp vs 2024"</f>
        <v>▲ 5,75pp vs 2024</v>
      </c>
      <c r="E17" s="8"/>
      <c r="F17" s="8"/>
      <c r="G17" s="6" t="str">
        <f>IF(petrobras_dados!D8&gt;petrobras_dados!E8,"▲","▼")&amp;" "&amp;TEXT(ABS(petrobras_dados!D8-petrobras_dados!E8),"0,00")&amp;"pp vs 2024"</f>
        <v>▼ 0,54pp vs 2024</v>
      </c>
      <c r="H17" s="6"/>
      <c r="I17" s="6"/>
      <c r="J17" s="6" t="str">
        <f>IF(petrobras_dados!D9&gt;petrobras_dados!E9,"▲","▼")&amp;" "&amp;TEXT(ABS(petrobras_dados!D9-petrobras_dados!E9),"0,00")&amp;"pp vs 2024"</f>
        <v>▼ 0,37pp vs 2024</v>
      </c>
      <c r="K17" s="6"/>
      <c r="L17" s="6"/>
    </row>
    <row r="25" spans="1:12" x14ac:dyDescent="0.25">
      <c r="A25" s="8" t="str">
        <f>IF(petrobras_dados!D10&gt;petrobras_dados!E10,"▲","▼")&amp;" "&amp;TEXT(ABS(petrobras_dados!D10-petrobras_dados!E10),"0,00")&amp;"pp vs 2024"</f>
        <v>▲ 0,02pp vs 2024</v>
      </c>
      <c r="B25" s="8"/>
      <c r="C25" s="8"/>
      <c r="D25" s="8" t="str">
        <f>IF(petrobras_dados!D11&gt;petrobras_dados!E11,"▲","▼")&amp;" "&amp;TEXT(ABS(petrobras_dados!D11-petrobras_dados!E11),"0,00")&amp;"pp vs 2024"</f>
        <v>▲ 0,02pp vs 2024</v>
      </c>
      <c r="E25" s="8"/>
      <c r="F25" s="8"/>
      <c r="G25" s="8" t="str">
        <f>IF(petrobras_dados!D12&gt;petrobras_dados!E12,"▲","▼")&amp;" "&amp;TEXT(ABS(petrobras_dados!D12-petrobras_dados!E12),"0,00")&amp;"pp vs 2024"</f>
        <v>▼ 0,02pp vs 2024</v>
      </c>
      <c r="H25" s="8"/>
      <c r="I25" s="8"/>
      <c r="J25" s="8" t="str">
        <f>IF(petrobras_dados!D13&gt;petrobras_dados!E13,"▲","▼")&amp;" "&amp;TEXT(ABS(petrobras_dados!D13-petrobras_dados!E13),"0,00")&amp;"pp vs 2024"</f>
        <v>▼ 0,10pp vs 2024</v>
      </c>
      <c r="K25" s="8"/>
      <c r="L25" s="8"/>
    </row>
  </sheetData>
  <mergeCells count="12">
    <mergeCell ref="A17:C17"/>
    <mergeCell ref="D17:F17"/>
    <mergeCell ref="G17:I17"/>
    <mergeCell ref="J17:L17"/>
    <mergeCell ref="A25:C25"/>
    <mergeCell ref="D25:F25"/>
    <mergeCell ref="G25:I25"/>
    <mergeCell ref="J25:L25"/>
    <mergeCell ref="A9:C9"/>
    <mergeCell ref="D9:F9"/>
    <mergeCell ref="G9:I9"/>
    <mergeCell ref="J9:L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2489-0CD7-4A5E-8782-8A6B9394C718}">
  <dimension ref="A1:G13"/>
  <sheetViews>
    <sheetView workbookViewId="0">
      <selection activeCell="D4" sqref="D4"/>
    </sheetView>
  </sheetViews>
  <sheetFormatPr defaultRowHeight="15" x14ac:dyDescent="0.25"/>
  <cols>
    <col min="1" max="1" width="11.42578125" bestFit="1" customWidth="1"/>
    <col min="2" max="2" width="19.85546875" bestFit="1" customWidth="1"/>
    <col min="3" max="3" width="12.85546875" bestFit="1" customWidth="1"/>
    <col min="4" max="5" width="12.57031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s="1" t="s">
        <v>5</v>
      </c>
      <c r="B2" s="1" t="s">
        <v>6</v>
      </c>
      <c r="C2" s="1" t="s">
        <v>7</v>
      </c>
      <c r="D2" s="2">
        <v>47.63</v>
      </c>
      <c r="E2" s="2">
        <v>50.21</v>
      </c>
    </row>
    <row r="3" spans="1:7" x14ac:dyDescent="0.25">
      <c r="A3" s="1" t="s">
        <v>8</v>
      </c>
      <c r="B3" s="1" t="s">
        <v>9</v>
      </c>
      <c r="C3" s="1" t="s">
        <v>7</v>
      </c>
      <c r="D3" s="2">
        <v>46.23</v>
      </c>
      <c r="E3" s="2">
        <v>41.61</v>
      </c>
    </row>
    <row r="4" spans="1:7" x14ac:dyDescent="0.25">
      <c r="A4" s="1" t="s">
        <v>10</v>
      </c>
      <c r="B4" s="1" t="s">
        <v>11</v>
      </c>
      <c r="C4" s="1" t="s">
        <v>7</v>
      </c>
      <c r="D4" s="2">
        <v>29.27</v>
      </c>
      <c r="E4" s="2">
        <v>27.95</v>
      </c>
      <c r="G4" s="9"/>
    </row>
    <row r="5" spans="1:7" x14ac:dyDescent="0.25">
      <c r="A5" s="1" t="s">
        <v>12</v>
      </c>
      <c r="B5" s="1" t="s">
        <v>13</v>
      </c>
      <c r="C5" s="1" t="s">
        <v>7</v>
      </c>
      <c r="D5" s="2">
        <v>22.23</v>
      </c>
      <c r="E5" s="2">
        <v>7.54</v>
      </c>
    </row>
    <row r="6" spans="1:7" x14ac:dyDescent="0.25">
      <c r="A6" s="1" t="s">
        <v>14</v>
      </c>
      <c r="B6" s="1" t="s">
        <v>15</v>
      </c>
      <c r="C6" s="1" t="s">
        <v>16</v>
      </c>
      <c r="D6" s="2">
        <v>26.49</v>
      </c>
      <c r="E6" s="2">
        <v>10.07</v>
      </c>
    </row>
    <row r="7" spans="1:7" x14ac:dyDescent="0.25">
      <c r="A7" s="1" t="s">
        <v>17</v>
      </c>
      <c r="B7" s="1" t="s">
        <v>18</v>
      </c>
      <c r="C7" s="1" t="s">
        <v>16</v>
      </c>
      <c r="D7" s="2">
        <v>9.0399999999999991</v>
      </c>
      <c r="E7" s="2">
        <v>3.29</v>
      </c>
    </row>
    <row r="8" spans="1:7" x14ac:dyDescent="0.25">
      <c r="A8" s="1" t="s">
        <v>19</v>
      </c>
      <c r="B8" s="1" t="s">
        <v>20</v>
      </c>
      <c r="C8" s="1" t="s">
        <v>16</v>
      </c>
      <c r="D8" s="2">
        <v>14.21</v>
      </c>
      <c r="E8" s="2">
        <v>14.75</v>
      </c>
    </row>
    <row r="9" spans="1:7" x14ac:dyDescent="0.25">
      <c r="A9" s="1" t="s">
        <v>21</v>
      </c>
      <c r="B9" s="1" t="s">
        <v>22</v>
      </c>
      <c r="C9" s="1" t="s">
        <v>16</v>
      </c>
      <c r="D9" s="2">
        <v>19.39</v>
      </c>
      <c r="E9" s="2">
        <v>19.760000000000002</v>
      </c>
    </row>
    <row r="10" spans="1:7" x14ac:dyDescent="0.25">
      <c r="A10" s="1" t="s">
        <v>23</v>
      </c>
      <c r="B10" s="1" t="s">
        <v>24</v>
      </c>
      <c r="C10" s="1" t="s">
        <v>25</v>
      </c>
      <c r="D10" s="2">
        <v>0.71</v>
      </c>
      <c r="E10" s="2">
        <v>0.69</v>
      </c>
    </row>
    <row r="11" spans="1:7" x14ac:dyDescent="0.25">
      <c r="A11" s="1" t="s">
        <v>26</v>
      </c>
      <c r="B11" s="1" t="s">
        <v>27</v>
      </c>
      <c r="C11" s="1" t="s">
        <v>25</v>
      </c>
      <c r="D11" s="2">
        <v>0.26</v>
      </c>
      <c r="E11" s="2">
        <v>0.24</v>
      </c>
    </row>
    <row r="12" spans="1:7" x14ac:dyDescent="0.25">
      <c r="A12" s="1" t="s">
        <v>28</v>
      </c>
      <c r="B12" s="1" t="s">
        <v>29</v>
      </c>
      <c r="C12" s="1" t="s">
        <v>30</v>
      </c>
      <c r="D12" s="9">
        <v>0.31</v>
      </c>
      <c r="E12" s="9">
        <v>0.33</v>
      </c>
    </row>
    <row r="13" spans="1:7" x14ac:dyDescent="0.25">
      <c r="A13" s="1" t="s">
        <v>31</v>
      </c>
      <c r="B13" s="1" t="s">
        <v>32</v>
      </c>
      <c r="C13" s="1" t="s">
        <v>30</v>
      </c>
      <c r="D13" s="2">
        <v>0.92</v>
      </c>
      <c r="E13" s="2">
        <v>1.02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2F585-2752-4E5B-8FD1-54F0B5350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petrobras_dados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BARCELOS BEZERRA</dc:creator>
  <cp:lastModifiedBy>ANTHONY BARCELOS BEZERRA</cp:lastModifiedBy>
  <dcterms:created xsi:type="dcterms:W3CDTF">2026-05-04T20:28:38Z</dcterms:created>
  <dcterms:modified xsi:type="dcterms:W3CDTF">2026-05-04T23:16:24Z</dcterms:modified>
</cp:coreProperties>
</file>